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ils de l'agent" sheetId="1" state="visible" r:id="rId3"/>
    <sheet name="Qui modifie quoi" sheetId="2" state="visible" r:id="rId4"/>
  </sheets>
  <definedNames>
    <definedName function="false" hidden="true" localSheetId="0" name="_xlnm._FilterDatabase" vbProcedure="false">'Outils de l''agent'!$A$4:$G$26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<sst xmlns="http://schemas.openxmlformats.org/spreadsheetml/2006/main" count="183" uniqueCount="99">
  <si>
    <t xml:space="preserve">Outils appelés par l'agent (catalogue prévu)</t>
  </si>
  <si>
    <t xml:space="preserve">Chaque outil est une fonction Python exposée à Claude Code par un serveur MCP local (agent/mcp_server.py). Claude Code demande l'appel, le serveur l'exécute, vérifie les arguments, journalise (AuditLog) et renvoie un résultat court. Colonne « Avancement » : à renseigner par vous (liste déroulante).</t>
  </si>
  <si>
    <t xml:space="preserve">Famille</t>
  </si>
  <si>
    <t xml:space="preserve">Outil</t>
  </si>
  <si>
    <t xml:space="preserve">Rôle</t>
  </si>
  <si>
    <t xml:space="preserve">Accès</t>
  </si>
  <si>
    <t xml:space="preserve">Validation par l'utilisateur</t>
  </si>
  <si>
    <t xml:space="preserve">Phase</t>
  </si>
  <si>
    <t xml:space="preserve">Avancement</t>
  </si>
  <si>
    <t xml:space="preserve">Lecture</t>
  </si>
  <si>
    <t xml:space="preserve">get_snapshot(scope)</t>
  </si>
  <si>
    <t xml:space="preserve">État condensé de la situation (tâches, événements, profil, consignes, observations)</t>
  </si>
  <si>
    <t xml:space="preserve">Non</t>
  </si>
  <si>
    <t xml:space="preserve">À faire</t>
  </si>
  <si>
    <t xml:space="preserve">list_tasks(filters)</t>
  </si>
  <si>
    <t xml:space="preserve">Liste des tâches avec filtres simples (projet, statut, clarté, échéance, limite)</t>
  </si>
  <si>
    <t xml:space="preserve">get_task(id)</t>
  </si>
  <si>
    <t xml:space="preserve">Détail d'une tâche</t>
  </si>
  <si>
    <t xml:space="preserve">list_events(from, to)</t>
  </si>
  <si>
    <t xml:space="preserve">Événements sur une période</t>
  </si>
  <si>
    <t xml:space="preserve">get_day(date)</t>
  </si>
  <si>
    <t xml:space="preserve">Journée déclarée (focus, énergie, lieu, notes)</t>
  </si>
  <si>
    <t xml:space="preserve">list_observations(limit, tag)</t>
  </si>
  <si>
    <t xml:space="preserve">Dernières observations du journal, filtrables par étiquette</t>
  </si>
  <si>
    <t xml:space="preserve">search_notes(query)</t>
  </si>
  <si>
    <t xml:space="preserve">Recherche dans les notes de référence</t>
  </si>
  <si>
    <t xml:space="preserve">Écriture libre</t>
  </si>
  <si>
    <t xml:space="preserve">create_task(title, project?, ...)</t>
  </si>
  <si>
    <t xml:space="preserve">Crée une tâche (seul le titre est obligatoire)</t>
  </si>
  <si>
    <t xml:space="preserve">Écriture</t>
  </si>
  <si>
    <t xml:space="preserve">Non (annulable)</t>
  </si>
  <si>
    <t xml:space="preserve">update_task(id, fields)</t>
  </si>
  <si>
    <t xml:space="preserve">Modifie une tâche (jamais le texte brut d'origine)</t>
  </si>
  <si>
    <t xml:space="preserve">complete_task(id)</t>
  </si>
  <si>
    <t xml:space="preserve">Marque une tâche comme faite</t>
  </si>
  <si>
    <t xml:space="preserve">split_task(id, subtasks)</t>
  </si>
  <si>
    <t xml:space="preserve">Découpe une tâche en sous-tâches (chantier)</t>
  </si>
  <si>
    <t xml:space="preserve">create_event(...)</t>
  </si>
  <si>
    <t xml:space="preserve">Crée un événement daté avec checklist</t>
  </si>
  <si>
    <t xml:space="preserve">update_event(id, fields)</t>
  </si>
  <si>
    <t xml:space="preserve">Met à jour un événement ou sa checklist</t>
  </si>
  <si>
    <t xml:space="preserve">create_note(title, project, text)</t>
  </si>
  <si>
    <t xml:space="preserve">Crée une note de référence (règle, contact, dates)</t>
  </si>
  <si>
    <t xml:space="preserve">set_day(date, focus, hours, energy, location, notes)</t>
  </si>
  <si>
    <t xml:space="preserve">Enregistre la journée déclarée</t>
  </si>
  <si>
    <t xml:space="preserve">record_outcome(date, text)</t>
  </si>
  <si>
    <t xml:space="preserve">Enregistre le bilan de la journée</t>
  </si>
  <si>
    <t xml:space="preserve">add_observation(text, tags)</t>
  </si>
  <si>
    <t xml:space="preserve">Ajoute une observation au journal (ex. clés oubliées)</t>
  </si>
  <si>
    <t xml:space="preserve">Format du briefing</t>
  </si>
  <si>
    <t xml:space="preserve">update_briefing_spec(new_content, instruction)</t>
  </si>
  <si>
    <t xml:space="preserve">Change le format du briefing, uniquement sur demande explicite</t>
  </si>
  <si>
    <t xml:space="preserve">Demande explicite de l'utilisateur (annulable)</t>
  </si>
  <si>
    <t xml:space="preserve">Avec validation</t>
  </si>
  <si>
    <t xml:space="preserve">propose_briefing_change(...)</t>
  </si>
  <si>
    <t xml:space="preserve">Propose un changement de format non demandé</t>
  </si>
  <si>
    <t xml:space="preserve">Proposition</t>
  </si>
  <si>
    <t xml:space="preserve">Oui</t>
  </si>
  <si>
    <t xml:space="preserve">propose_profile_update(new_content, rationale)</t>
  </si>
  <si>
    <t xml:space="preserve">Propose une nouvelle version du profil</t>
  </si>
  <si>
    <t xml:space="preserve">propose_rule(text, trigger, message, source_observation_ids)</t>
  </si>
  <si>
    <t xml:space="preserve">Propose une consigne active (ex. rappel des clés)</t>
  </si>
  <si>
    <t xml:space="preserve">propose_task_drop(id, reason)</t>
  </si>
  <si>
    <t xml:space="preserve">Propose d'abandonner ou supprimer une tâche</t>
  </si>
  <si>
    <t xml:space="preserve">Récapitulatif</t>
  </si>
  <si>
    <t xml:space="preserve">Nombre d'outils</t>
  </si>
  <si>
    <t xml:space="preserve">Faits</t>
  </si>
  <si>
    <t xml:space="preserve">Total</t>
  </si>
  <si>
    <t xml:space="preserve">Où vit chaque élément et qui peut le modifier</t>
  </si>
  <si>
    <t xml:space="preserve">Élément</t>
  </si>
  <si>
    <t xml:space="preserve">Où il est stocké</t>
  </si>
  <si>
    <t xml:space="preserve">Qui le modifie</t>
  </si>
  <si>
    <t xml:space="preserve">Comment</t>
  </si>
  <si>
    <t xml:space="preserve">Outils (fonctions et déclarations)</t>
  </si>
  <si>
    <t xml:space="preserve">Code : agent/mcp_server.py (serveur MCP « pilotage »)</t>
  </si>
  <si>
    <t xml:space="preserve">Vous seul, via Claude Code</t>
  </si>
  <si>
    <t xml:space="preserve">Modification du code, test, redémarrage du bot. L'agent ne peut pas créer ni changer d'outil.</t>
  </si>
  <si>
    <t xml:space="preserve">Prompt système (comportement de l'agent)</t>
  </si>
  <si>
    <t xml:space="preserve">Fichier : agent_workspace/CLAUDE.md</t>
  </si>
  <si>
    <t xml:space="preserve">Vous, ou Claude Code à votre demande</t>
  </si>
  <si>
    <t xml:space="preserve">Édition du fichier, sans toucher aux outils.</t>
  </si>
  <si>
    <t xml:space="preserve">Tâches, événements, notes, observations, journées</t>
  </si>
  <si>
    <t xml:space="preserve">Base SQLite</t>
  </si>
  <si>
    <t xml:space="preserve">L'agent librement, et vous</t>
  </si>
  <si>
    <t xml:space="preserve">Via les outils d'écriture libre. Chaque écriture est journalisée et annulable (/annuler).</t>
  </si>
  <si>
    <t xml:space="preserve">Format du briefing (briefing.md)</t>
  </si>
  <si>
    <t xml:space="preserve">Base, versions conservées</t>
  </si>
  <si>
    <t xml:space="preserve">L'agent, sur votre demande explicite</t>
  </si>
  <si>
    <t xml:space="preserve">Via update_briefing_spec. Sans demande de votre part, l'agent doit proposer et attendre.</t>
  </si>
  <si>
    <t xml:space="preserve">Profil (profil.md)</t>
  </si>
  <si>
    <t xml:space="preserve">L'agent propose, vous validez</t>
  </si>
  <si>
    <t xml:space="preserve">Via propose_profile_update, bouton Accepter/Refuser.</t>
  </si>
  <si>
    <t xml:space="preserve">Consignes (ex. rappel des clés)</t>
  </si>
  <si>
    <t xml:space="preserve">Base</t>
  </si>
  <si>
    <t xml:space="preserve">Via propose_rule, bouton Accepter/Refuser.</t>
  </si>
  <si>
    <t xml:space="preserve">Ajout d'un nouvel outil (agenda, e-mail, OrthoAdvance)</t>
  </si>
  <si>
    <t xml:space="preserve">Code</t>
  </si>
  <si>
    <t xml:space="preserve">Vous, via Claude Code</t>
  </si>
  <si>
    <t xml:space="preserve">Fonction, déclaration, test. À prévoir après stabilisation de la base : définir ce qui exige votre accord avant exécution.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</si>
</sst>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6"/>
    <col collapsed="false" customWidth="true" hidden="false" outlineLevel="0" max="3" min="3" style="1" width="58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3.25" hidden="false" customHeight="true" outlineLevel="0" collapsed="false">
      <c r="A5" s="5" t="s">
        <v>9</v>
      </c>
      <c r="B5" s="6" t="s">
        <v>10</v>
      </c>
      <c r="C5" s="5" t="s">
        <v>11</v>
      </c>
      <c r="D5" s="5" t="s">
        <v>9</v>
      </c>
      <c r="E5" s="5" t="s">
        <v>12</v>
      </c>
      <c r="F5" s="7" t="n">
        <v>2</v>
      </c>
      <c r="G5" s="5" t="s">
        <v>13</v>
      </c>
    </row>
    <row r="6" customFormat="false" ht="23.25" hidden="false" customHeight="true" outlineLevel="0" collapsed="false">
      <c r="A6" s="5" t="s">
        <v>9</v>
      </c>
      <c r="B6" s="6" t="s">
        <v>14</v>
      </c>
      <c r="C6" s="5" t="s">
        <v>15</v>
      </c>
      <c r="D6" s="5" t="s">
        <v>9</v>
      </c>
      <c r="E6" s="5" t="s">
        <v>12</v>
      </c>
      <c r="F6" s="7" t="n">
        <v>2</v>
      </c>
      <c r="G6" s="5" t="s">
        <v>13</v>
      </c>
    </row>
    <row r="7" customFormat="false" ht="15" hidden="false" customHeight="true" outlineLevel="0" collapsed="false">
      <c r="A7" s="5" t="s">
        <v>9</v>
      </c>
      <c r="B7" s="6" t="s">
        <v>16</v>
      </c>
      <c r="C7" s="5" t="s">
        <v>17</v>
      </c>
      <c r="D7" s="5" t="s">
        <v>9</v>
      </c>
      <c r="E7" s="5" t="s">
        <v>12</v>
      </c>
      <c r="F7" s="7" t="n">
        <v>2</v>
      </c>
      <c r="G7" s="5" t="s">
        <v>13</v>
      </c>
    </row>
    <row r="8" customFormat="false" ht="15" hidden="false" customHeight="true" outlineLevel="0" collapsed="false">
      <c r="A8" s="5" t="s">
        <v>9</v>
      </c>
      <c r="B8" s="6" t="s">
        <v>18</v>
      </c>
      <c r="C8" s="5" t="s">
        <v>19</v>
      </c>
      <c r="D8" s="5" t="s">
        <v>9</v>
      </c>
      <c r="E8" s="5" t="s">
        <v>12</v>
      </c>
      <c r="F8" s="7" t="n">
        <v>2</v>
      </c>
      <c r="G8" s="5" t="s">
        <v>13</v>
      </c>
    </row>
    <row r="9" customFormat="false" ht="15" hidden="false" customHeight="true" outlineLevel="0" collapsed="false">
      <c r="A9" s="5" t="s">
        <v>9</v>
      </c>
      <c r="B9" s="6" t="s">
        <v>20</v>
      </c>
      <c r="C9" s="5" t="s">
        <v>21</v>
      </c>
      <c r="D9" s="5" t="s">
        <v>9</v>
      </c>
      <c r="E9" s="5" t="s">
        <v>12</v>
      </c>
      <c r="F9" s="7" t="n">
        <v>2</v>
      </c>
      <c r="G9" s="5" t="s">
        <v>13</v>
      </c>
    </row>
    <row r="10" customFormat="false" ht="15" hidden="false" customHeight="true" outlineLevel="0" collapsed="false">
      <c r="A10" s="5" t="s">
        <v>9</v>
      </c>
      <c r="B10" s="6" t="s">
        <v>22</v>
      </c>
      <c r="C10" s="5" t="s">
        <v>23</v>
      </c>
      <c r="D10" s="5" t="s">
        <v>9</v>
      </c>
      <c r="E10" s="5" t="s">
        <v>12</v>
      </c>
      <c r="F10" s="7" t="n">
        <v>2</v>
      </c>
      <c r="G10" s="5" t="s">
        <v>13</v>
      </c>
    </row>
    <row r="11" customFormat="false" ht="15" hidden="false" customHeight="true" outlineLevel="0" collapsed="false">
      <c r="A11" s="5" t="s">
        <v>9</v>
      </c>
      <c r="B11" s="6" t="s">
        <v>24</v>
      </c>
      <c r="C11" s="5" t="s">
        <v>25</v>
      </c>
      <c r="D11" s="5" t="s">
        <v>9</v>
      </c>
      <c r="E11" s="5" t="s">
        <v>12</v>
      </c>
      <c r="F11" s="7" t="n">
        <v>2</v>
      </c>
      <c r="G11" s="5" t="s">
        <v>13</v>
      </c>
    </row>
    <row r="12" customFormat="false" ht="15" hidden="false" customHeight="true" outlineLevel="0" collapsed="false">
      <c r="A12" s="8" t="s">
        <v>26</v>
      </c>
      <c r="B12" s="9" t="s">
        <v>27</v>
      </c>
      <c r="C12" s="8" t="s">
        <v>28</v>
      </c>
      <c r="D12" s="8" t="s">
        <v>29</v>
      </c>
      <c r="E12" s="8" t="s">
        <v>30</v>
      </c>
      <c r="F12" s="10" t="n">
        <v>2</v>
      </c>
      <c r="G12" s="8" t="s">
        <v>13</v>
      </c>
    </row>
    <row r="13" customFormat="false" ht="15" hidden="false" customHeight="true" outlineLevel="0" collapsed="false">
      <c r="A13" s="8" t="s">
        <v>26</v>
      </c>
      <c r="B13" s="9" t="s">
        <v>31</v>
      </c>
      <c r="C13" s="8" t="s">
        <v>32</v>
      </c>
      <c r="D13" s="8" t="s">
        <v>29</v>
      </c>
      <c r="E13" s="8" t="s">
        <v>30</v>
      </c>
      <c r="F13" s="10" t="n">
        <v>2</v>
      </c>
      <c r="G13" s="8" t="s">
        <v>13</v>
      </c>
    </row>
    <row r="14" customFormat="false" ht="15" hidden="false" customHeight="true" outlineLevel="0" collapsed="false">
      <c r="A14" s="8" t="s">
        <v>26</v>
      </c>
      <c r="B14" s="9" t="s">
        <v>33</v>
      </c>
      <c r="C14" s="8" t="s">
        <v>34</v>
      </c>
      <c r="D14" s="8" t="s">
        <v>29</v>
      </c>
      <c r="E14" s="8" t="s">
        <v>30</v>
      </c>
      <c r="F14" s="10" t="n">
        <v>2</v>
      </c>
      <c r="G14" s="8" t="s">
        <v>13</v>
      </c>
    </row>
    <row r="15" customFormat="false" ht="15" hidden="false" customHeight="true" outlineLevel="0" collapsed="false">
      <c r="A15" s="8" t="s">
        <v>26</v>
      </c>
      <c r="B15" s="9" t="s">
        <v>35</v>
      </c>
      <c r="C15" s="8" t="s">
        <v>36</v>
      </c>
      <c r="D15" s="8" t="s">
        <v>29</v>
      </c>
      <c r="E15" s="8" t="s">
        <v>30</v>
      </c>
      <c r="F15" s="10" t="n">
        <v>2</v>
      </c>
      <c r="G15" s="8" t="s">
        <v>13</v>
      </c>
    </row>
    <row r="16" customFormat="false" ht="15" hidden="false" customHeight="true" outlineLevel="0" collapsed="false">
      <c r="A16" s="8" t="s">
        <v>26</v>
      </c>
      <c r="B16" s="9" t="s">
        <v>37</v>
      </c>
      <c r="C16" s="8" t="s">
        <v>38</v>
      </c>
      <c r="D16" s="8" t="s">
        <v>29</v>
      </c>
      <c r="E16" s="8" t="s">
        <v>30</v>
      </c>
      <c r="F16" s="10" t="n">
        <v>2</v>
      </c>
      <c r="G16" s="8" t="s">
        <v>13</v>
      </c>
    </row>
    <row r="17" customFormat="false" ht="15" hidden="false" customHeight="true" outlineLevel="0" collapsed="false">
      <c r="A17" s="8" t="s">
        <v>26</v>
      </c>
      <c r="B17" s="9" t="s">
        <v>39</v>
      </c>
      <c r="C17" s="8" t="s">
        <v>40</v>
      </c>
      <c r="D17" s="8" t="s">
        <v>29</v>
      </c>
      <c r="E17" s="8" t="s">
        <v>30</v>
      </c>
      <c r="F17" s="10" t="n">
        <v>2</v>
      </c>
      <c r="G17" s="8" t="s">
        <v>13</v>
      </c>
    </row>
    <row r="18" customFormat="false" ht="15" hidden="false" customHeight="true" outlineLevel="0" collapsed="false">
      <c r="A18" s="8" t="s">
        <v>26</v>
      </c>
      <c r="B18" s="9" t="s">
        <v>41</v>
      </c>
      <c r="C18" s="8" t="s">
        <v>42</v>
      </c>
      <c r="D18" s="8" t="s">
        <v>29</v>
      </c>
      <c r="E18" s="8" t="s">
        <v>30</v>
      </c>
      <c r="F18" s="10" t="n">
        <v>2</v>
      </c>
      <c r="G18" s="8" t="s">
        <v>13</v>
      </c>
    </row>
    <row r="19" customFormat="false" ht="15" hidden="false" customHeight="true" outlineLevel="0" collapsed="false">
      <c r="A19" s="8" t="s">
        <v>26</v>
      </c>
      <c r="B19" s="9" t="s">
        <v>43</v>
      </c>
      <c r="C19" s="8" t="s">
        <v>44</v>
      </c>
      <c r="D19" s="8" t="s">
        <v>29</v>
      </c>
      <c r="E19" s="8" t="s">
        <v>30</v>
      </c>
      <c r="F19" s="10" t="n">
        <v>2</v>
      </c>
      <c r="G19" s="8" t="s">
        <v>13</v>
      </c>
    </row>
    <row r="20" customFormat="false" ht="15" hidden="false" customHeight="true" outlineLevel="0" collapsed="false">
      <c r="A20" s="8" t="s">
        <v>26</v>
      </c>
      <c r="B20" s="9" t="s">
        <v>45</v>
      </c>
      <c r="C20" s="8" t="s">
        <v>46</v>
      </c>
      <c r="D20" s="8" t="s">
        <v>29</v>
      </c>
      <c r="E20" s="8" t="s">
        <v>30</v>
      </c>
      <c r="F20" s="10" t="n">
        <v>2</v>
      </c>
      <c r="G20" s="8" t="s">
        <v>13</v>
      </c>
    </row>
    <row r="21" customFormat="false" ht="15" hidden="false" customHeight="true" outlineLevel="0" collapsed="false">
      <c r="A21" s="8" t="s">
        <v>26</v>
      </c>
      <c r="B21" s="9" t="s">
        <v>47</v>
      </c>
      <c r="C21" s="8" t="s">
        <v>48</v>
      </c>
      <c r="D21" s="8" t="s">
        <v>29</v>
      </c>
      <c r="E21" s="8" t="s">
        <v>30</v>
      </c>
      <c r="F21" s="10" t="n">
        <v>2</v>
      </c>
      <c r="G21" s="8" t="s">
        <v>13</v>
      </c>
    </row>
    <row r="22" customFormat="false" ht="23.25" hidden="false" customHeight="true" outlineLevel="0" collapsed="false">
      <c r="A22" s="11" t="s">
        <v>49</v>
      </c>
      <c r="B22" s="12" t="s">
        <v>50</v>
      </c>
      <c r="C22" s="11" t="s">
        <v>51</v>
      </c>
      <c r="D22" s="11" t="s">
        <v>29</v>
      </c>
      <c r="E22" s="11" t="s">
        <v>52</v>
      </c>
      <c r="F22" s="13" t="n">
        <v>2</v>
      </c>
      <c r="G22" s="11" t="s">
        <v>13</v>
      </c>
    </row>
    <row r="23" customFormat="false" ht="15" hidden="false" customHeight="true" outlineLevel="0" collapsed="false">
      <c r="A23" s="14" t="s">
        <v>53</v>
      </c>
      <c r="B23" s="15" t="s">
        <v>54</v>
      </c>
      <c r="C23" s="14" t="s">
        <v>55</v>
      </c>
      <c r="D23" s="14" t="s">
        <v>56</v>
      </c>
      <c r="E23" s="14" t="s">
        <v>57</v>
      </c>
      <c r="F23" s="16" t="n">
        <v>2</v>
      </c>
      <c r="G23" s="14" t="s">
        <v>13</v>
      </c>
    </row>
    <row r="24" customFormat="false" ht="15" hidden="false" customHeight="true" outlineLevel="0" collapsed="false">
      <c r="A24" s="14" t="s">
        <v>53</v>
      </c>
      <c r="B24" s="15" t="s">
        <v>58</v>
      </c>
      <c r="C24" s="14" t="s">
        <v>59</v>
      </c>
      <c r="D24" s="14" t="s">
        <v>56</v>
      </c>
      <c r="E24" s="14" t="s">
        <v>57</v>
      </c>
      <c r="F24" s="16" t="n">
        <v>2</v>
      </c>
      <c r="G24" s="14" t="s">
        <v>13</v>
      </c>
    </row>
    <row r="25" customFormat="false" ht="23.25" hidden="false" customHeight="true" outlineLevel="0" collapsed="false">
      <c r="A25" s="14" t="s">
        <v>53</v>
      </c>
      <c r="B25" s="15" t="s">
        <v>60</v>
      </c>
      <c r="C25" s="14" t="s">
        <v>61</v>
      </c>
      <c r="D25" s="14" t="s">
        <v>56</v>
      </c>
      <c r="E25" s="14" t="s">
        <v>57</v>
      </c>
      <c r="F25" s="16" t="n">
        <v>2</v>
      </c>
      <c r="G25" s="14" t="s">
        <v>13</v>
      </c>
    </row>
    <row r="26" customFormat="false" ht="15" hidden="false" customHeight="true" outlineLevel="0" collapsed="false">
      <c r="A26" s="14" t="s">
        <v>53</v>
      </c>
      <c r="B26" s="15" t="s">
        <v>62</v>
      </c>
      <c r="C26" s="14" t="s">
        <v>63</v>
      </c>
      <c r="D26" s="14" t="s">
        <v>56</v>
      </c>
      <c r="E26" s="14" t="s">
        <v>57</v>
      </c>
      <c r="F26" s="16" t="n">
        <v>2</v>
      </c>
      <c r="G26" s="14" t="s">
        <v>13</v>
      </c>
    </row>
    <row r="29" customFormat="false" ht="15" hidden="false" customHeight="true" outlineLevel="0" collapsed="false">
      <c r="A29" s="17" t="s">
        <v>64</v>
      </c>
    </row>
    <row r="30" customFormat="false" ht="15" hidden="false" customHeight="true" outlineLevel="0" collapsed="false">
      <c r="A30" s="18" t="s">
        <v>2</v>
      </c>
      <c r="B30" s="18" t="s">
        <v>65</v>
      </c>
      <c r="C30" s="18" t="s">
        <v>66</v>
      </c>
    </row>
    <row r="31" customFormat="false" ht="15" hidden="false" customHeight="true" outlineLevel="0" collapsed="false">
      <c r="A31" s="19" t="s">
        <v>9</v>
      </c>
      <c r="B31" s="19" t="n">
        <f aca="false">COUNTIF($A$5:$A$26,A31)</f>
        <v>7</v>
      </c>
      <c r="C31" s="19" t="n">
        <f aca="false">COUNTIFS($A$5:$A$26,A31,$G$5:$G$26,"Fait")</f>
        <v>0</v>
      </c>
    </row>
    <row r="32" customFormat="false" ht="15" hidden="false" customHeight="true" outlineLevel="0" collapsed="false">
      <c r="A32" s="20" t="s">
        <v>26</v>
      </c>
      <c r="B32" s="20" t="n">
        <f aca="false">COUNTIF($A$5:$A$26,A32)</f>
        <v>10</v>
      </c>
      <c r="C32" s="20" t="n">
        <f aca="false">COUNTIFS($A$5:$A$26,A32,$G$5:$G$26,"Fait")</f>
        <v>0</v>
      </c>
    </row>
    <row r="33" customFormat="false" ht="15" hidden="false" customHeight="true" outlineLevel="0" collapsed="false">
      <c r="A33" s="21" t="s">
        <v>49</v>
      </c>
      <c r="B33" s="21" t="n">
        <f aca="false">COUNTIF($A$5:$A$26,A33)</f>
        <v>1</v>
      </c>
      <c r="C33" s="21" t="n">
        <f aca="false">COUNTIFS($A$5:$A$26,A33,$G$5:$G$26,"Fait")</f>
        <v>0</v>
      </c>
    </row>
    <row r="34" customFormat="false" ht="15" hidden="false" customHeight="true" outlineLevel="0" collapsed="false">
      <c r="A34" s="22" t="s">
        <v>53</v>
      </c>
      <c r="B34" s="22" t="n">
        <f aca="false">COUNTIF($A$5:$A$26,A34)</f>
        <v>4</v>
      </c>
      <c r="C34" s="22" t="n">
        <f aca="false">COUNTIFS($A$5:$A$26,A34,$G$5:$G$26,"Fait")</f>
        <v>0</v>
      </c>
    </row>
    <row r="35" customFormat="false" ht="15" hidden="false" customHeight="true" outlineLevel="0" collapsed="false">
      <c r="A35" s="23" t="s">
        <v>67</v>
      </c>
      <c r="B35" s="23" t="n">
        <f aca="false">SUM(B31:B34)</f>
        <v>22</v>
      </c>
      <c r="C35" s="23" t="n">
        <f aca="false">SUM(C31:C34)</f>
        <v>0</v>
      </c>
    </row>
  </sheetData>
  <autoFilter ref="A4:G26"/>
  <mergeCells count="1">
    <mergeCell ref="A2:G2"/>
  </mergeCells>
  <dataValidations count="1">
    <dataValidation allowBlank="false" errorStyle="stop" operator="between" showDropDown="false" showErrorMessage="false" showInputMessage="false" sqref="G5:G26" type="list">
      <formula1>"À faire,En cours,Fait"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2"/>
    <col collapsed="false" customWidth="true" hidden="false" outlineLevel="0" max="3" min="3" style="1" width="36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68</v>
      </c>
    </row>
    <row r="3" customFormat="false" ht="15" hidden="false" customHeight="true" outlineLevel="0" collapsed="false">
      <c r="A3" s="24" t="s">
        <v>69</v>
      </c>
      <c r="B3" s="24" t="s">
        <v>70</v>
      </c>
      <c r="C3" s="24" t="s">
        <v>71</v>
      </c>
      <c r="D3" s="24" t="s">
        <v>72</v>
      </c>
    </row>
    <row r="4" customFormat="false" ht="23.25" hidden="false" customHeight="true" outlineLevel="0" collapsed="false">
      <c r="A4" s="25" t="s">
        <v>73</v>
      </c>
      <c r="B4" s="26" t="s">
        <v>74</v>
      </c>
      <c r="C4" s="26" t="s">
        <v>75</v>
      </c>
      <c r="D4" s="26" t="s">
        <v>76</v>
      </c>
    </row>
    <row r="5" customFormat="false" ht="15" hidden="false" customHeight="true" outlineLevel="0" collapsed="false">
      <c r="A5" s="25" t="s">
        <v>77</v>
      </c>
      <c r="B5" s="26" t="s">
        <v>78</v>
      </c>
      <c r="C5" s="26" t="s">
        <v>79</v>
      </c>
      <c r="D5" s="26" t="s">
        <v>80</v>
      </c>
    </row>
    <row r="6" customFormat="false" ht="23.25" hidden="false" customHeight="true" outlineLevel="0" collapsed="false">
      <c r="A6" s="25" t="s">
        <v>81</v>
      </c>
      <c r="B6" s="26" t="s">
        <v>82</v>
      </c>
      <c r="C6" s="26" t="s">
        <v>83</v>
      </c>
      <c r="D6" s="26" t="s">
        <v>84</v>
      </c>
    </row>
    <row r="7" customFormat="false" ht="23.25" hidden="false" customHeight="true" outlineLevel="0" collapsed="false">
      <c r="A7" s="25" t="s">
        <v>85</v>
      </c>
      <c r="B7" s="26" t="s">
        <v>86</v>
      </c>
      <c r="C7" s="26" t="s">
        <v>87</v>
      </c>
      <c r="D7" s="26" t="s">
        <v>88</v>
      </c>
    </row>
    <row r="8" customFormat="false" ht="15" hidden="false" customHeight="true" outlineLevel="0" collapsed="false">
      <c r="A8" s="25" t="s">
        <v>89</v>
      </c>
      <c r="B8" s="26" t="s">
        <v>86</v>
      </c>
      <c r="C8" s="26" t="s">
        <v>90</v>
      </c>
      <c r="D8" s="26" t="s">
        <v>91</v>
      </c>
    </row>
    <row r="9" customFormat="false" ht="15" hidden="false" customHeight="true" outlineLevel="0" collapsed="false">
      <c r="A9" s="25" t="s">
        <v>92</v>
      </c>
      <c r="B9" s="26" t="s">
        <v>93</v>
      </c>
      <c r="C9" s="26" t="s">
        <v>90</v>
      </c>
      <c r="D9" s="26" t="s">
        <v>94</v>
      </c>
    </row>
    <row r="10" customFormat="false" ht="23.25" hidden="false" customHeight="true" outlineLevel="0" collapsed="false">
      <c r="A10" s="25" t="s">
        <v>95</v>
      </c>
      <c r="B10" s="26" t="s">
        <v>96</v>
      </c>
      <c r="C10" s="26" t="s">
        <v>97</v>
      </c>
      <c r="D10" s="2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2026-10-25T06:51:03Z</dcterms:created>
  <dc:creator>openpyxl</dc:creator>
  <dc:description/>
  <dc:language>en-US</dc:language>
  <cp:lastModifiedBy/>
  <dcterms:modified xsi:type="dcterms:W3CDTF">2026-10-25T06:56:04Z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